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xr:revisionPtr revIDLastSave="0" documentId="8_{FA600541-8B31-D54D-B3A0-705B7BEB52F0}" xr6:coauthVersionLast="47" xr6:coauthVersionMax="47" xr10:uidLastSave="{00000000-0000-0000-0000-000000000000}"/>
  <bookViews>
    <workbookView xWindow="240" yWindow="105" windowWidth="14805" windowHeight="8010" firstSheet="3" xr2:uid="{00000000-000D-0000-FFFF-FFFF00000000}"/>
  </bookViews>
  <sheets>
    <sheet name="Product_Master" sheetId="1" r:id="rId1"/>
    <sheet name="Purchase_Data" sheetId="2" r:id="rId2"/>
    <sheet name="Sales_Data" sheetId="3" r:id="rId3"/>
    <sheet name="Inventory" sheetId="4" r:id="rId4"/>
    <sheet name="Dashboard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5" l="1"/>
  <c r="B7" i="5"/>
  <c r="B5" i="5"/>
  <c r="E5" i="5"/>
  <c r="B3" i="5"/>
  <c r="E4" i="5"/>
  <c r="E3" i="4"/>
  <c r="E4" i="4"/>
  <c r="E5" i="4"/>
  <c r="E2" i="4"/>
  <c r="D3" i="4"/>
  <c r="D4" i="4"/>
  <c r="D5" i="4"/>
  <c r="D2" i="4"/>
  <c r="C3" i="4"/>
  <c r="C4" i="4"/>
  <c r="C5" i="4"/>
  <c r="C2" i="4"/>
  <c r="B3" i="4"/>
  <c r="B4" i="4"/>
  <c r="B5" i="4"/>
  <c r="B2" i="4"/>
  <c r="G3" i="3"/>
  <c r="G4" i="3"/>
  <c r="G5" i="3"/>
  <c r="G2" i="3"/>
  <c r="F3" i="3"/>
  <c r="F4" i="3"/>
  <c r="F5" i="3"/>
  <c r="F2" i="3"/>
  <c r="G3" i="2"/>
  <c r="G4" i="2"/>
  <c r="G2" i="2"/>
  <c r="F4" i="2"/>
  <c r="F3" i="2"/>
  <c r="A2" i="1"/>
  <c r="A3" i="1"/>
  <c r="A4" i="1"/>
  <c r="A5" i="1"/>
  <c r="F2" i="2"/>
</calcChain>
</file>

<file path=xl/sharedStrings.xml><?xml version="1.0" encoding="utf-8"?>
<sst xmlns="http://schemas.openxmlformats.org/spreadsheetml/2006/main" count="70" uniqueCount="44">
  <si>
    <t>Product ID</t>
  </si>
  <si>
    <t>Product Name</t>
  </si>
  <si>
    <t>Category</t>
  </si>
  <si>
    <t>Purchase Price</t>
  </si>
  <si>
    <t>Selling Price</t>
  </si>
  <si>
    <t>Vivo V40</t>
  </si>
  <si>
    <t>Smartphone</t>
  </si>
  <si>
    <t>Samsung Galaxy M35</t>
  </si>
  <si>
    <t>LG Smart TV 43</t>
  </si>
  <si>
    <t>Television</t>
  </si>
  <si>
    <t>Bluetooth Earbuds</t>
  </si>
  <si>
    <t>Accessories</t>
  </si>
  <si>
    <t>z</t>
  </si>
  <si>
    <t>Date</t>
  </si>
  <si>
    <t>Supplier</t>
  </si>
  <si>
    <t>Quantity</t>
  </si>
  <si>
    <t xml:space="preserve">Purchase Price </t>
  </si>
  <si>
    <t>Total Amount</t>
  </si>
  <si>
    <t xml:space="preserve">  01-04-2025 </t>
  </si>
  <si>
    <t xml:space="preserve">Samsung Distributors  </t>
  </si>
  <si>
    <t>P002</t>
  </si>
  <si>
    <t xml:space="preserve">Samsung Galaxy M35 </t>
  </si>
  <si>
    <t>LG Electronics Supplier</t>
  </si>
  <si>
    <t>P003</t>
  </si>
  <si>
    <t>Vivo Wholesale Pvt Ltd</t>
  </si>
  <si>
    <t>P001</t>
  </si>
  <si>
    <t xml:space="preserve"> Customer </t>
  </si>
  <si>
    <t xml:space="preserve">Patel Electronics </t>
  </si>
  <si>
    <t xml:space="preserve">Om Mobile Store </t>
  </si>
  <si>
    <t xml:space="preserve">Smart World Retail </t>
  </si>
  <si>
    <t xml:space="preserve">LG Smart TV 43 </t>
  </si>
  <si>
    <t xml:space="preserve">Product ID </t>
  </si>
  <si>
    <t xml:space="preserve"> Purchased Qty </t>
  </si>
  <si>
    <t xml:space="preserve">Sold Qty </t>
  </si>
  <si>
    <t xml:space="preserve">Closing Stock </t>
  </si>
  <si>
    <t>P004</t>
  </si>
  <si>
    <t>Inventory Management Dashboard</t>
  </si>
  <si>
    <t>Total Purchase Value</t>
  </si>
  <si>
    <t xml:space="preserve">Amount </t>
  </si>
  <si>
    <t xml:space="preserve">Purchase </t>
  </si>
  <si>
    <t>Total Sales Value</t>
  </si>
  <si>
    <t>Sales</t>
  </si>
  <si>
    <t>Total Products</t>
  </si>
  <si>
    <t>Current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</si>
</sst>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164" fontId="1" fillId="0" borderId="1" xfId="0" applyNumberFormat="1" applyFont="1" applyBorder="1"/>
    <xf numFmtId="164" fontId="0" fillId="0" borderId="1" xfId="0" applyNumberFormat="1" applyFont="1" applyBorder="1"/>
    <xf numFmtId="0" fontId="1" fillId="3" borderId="1" xfId="0" applyFont="1" applyFill="1" applyBorder="1"/>
    <xf numFmtId="164" fontId="0" fillId="0" borderId="1" xfId="0" applyNumberForma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2">
    <dxf>
      <numFmt numFmtId="3" formatCode="#,##0"/>
    </dxf>
    <dxf>
      <numFmt numFmtId="3" formatCode="#,##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 vs Sales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Dashboard!$E$3</c:f>
              <c:strCache>
                <c:ptCount val="1"/>
                <c:pt idx="0">
                  <c:v>Amount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Dashboard!$D$4:$D$5</c:f>
              <c:strCache>
                <c:ptCount val="2"/>
                <c:pt idx="0">
                  <c:v>Purchase </c:v>
                </c:pt>
                <c:pt idx="1">
                  <c:v>Sales</c:v>
                </c:pt>
              </c:strCache>
            </c:strRef>
          </c:cat>
          <c:val>
            <c:numRef>
              <c:f>Dashboard!$E$4:$E$5</c:f>
              <c:numCache>
                <c:formatCode>[$₹-4009]\ #,##0.00</c:formatCode>
                <c:ptCount val="2"/>
                <c:pt idx="0">
                  <c:v>850000</c:v>
                </c:pt>
                <c:pt idx="1">
                  <c:v>570000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38-4F35-B591-8FCD0D2EB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5279751"/>
        <c:axId val="2005292551"/>
      </c:barChart>
      <c:catAx>
        <c:axId val="2005279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292551"/>
        <c:crosses val="autoZero"/>
        <c:auto val="1"/>
        <c:lblAlgn val="ctr"/>
        <c:lblOffset val="100"/>
        <c:noMultiLvlLbl val="0"/>
      </c:catAx>
      <c:valAx>
        <c:axId val="2005292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279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0</xdr:row>
      <xdr:rowOff>428625</xdr:rowOff>
    </xdr:from>
    <xdr:to>
      <xdr:col>19</xdr:col>
      <xdr:colOff>47625</xdr:colOff>
      <xdr:row>21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62AC29-110D-16FA-21A6-E0F51DF65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E870A4-5365-4882-9C11-FE3815476E02}" name="Table1" displayName="Table1" ref="A1:E5" totalsRowShown="0">
  <autoFilter ref="A1:E5" xr:uid="{EBE870A4-5365-4882-9C11-FE3815476E02}"/>
  <tableColumns count="5">
    <tableColumn id="1" xr3:uid="{A8DCE5E3-D1B3-4A65-B9A4-57BBF081C3EC}" name="Product ID">
      <calculatedColumnFormula>"P00" &amp; TEXT(ROW() - ROW(Table1[[#Headers],[Product ID]]), "0;-0")</calculatedColumnFormula>
    </tableColumn>
    <tableColumn id="2" xr3:uid="{3E776A94-8475-47E1-B7B3-8D7DBC65ABF3}" name="Product Name"/>
    <tableColumn id="3" xr3:uid="{87CCDB0B-79CA-4D5B-A51F-CD315D55D04F}" name="Category"/>
    <tableColumn id="4" xr3:uid="{FDCC57A2-E065-4000-BBE3-24362DEC6EA1}" name="Purchase Price" dataDxfId="1"/>
    <tableColumn id="5" xr3:uid="{CCC3B3AC-3653-4D44-9B8B-2AAC2772CB53}" name="Selling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8574"/>
  <sheetViews>
    <sheetView tabSelected="1" workbookViewId="0">
      <selection activeCell="G9" sqref="G9"/>
    </sheetView>
  </sheetViews>
  <sheetFormatPr defaultRowHeight="15" x14ac:dyDescent="0.2"/>
  <cols>
    <col min="1" max="1" width="13.44921875" bestFit="1" customWidth="1"/>
    <col min="2" max="2" width="22.8671875" customWidth="1"/>
    <col min="3" max="3" width="11.56640625" bestFit="1" customWidth="1"/>
    <col min="4" max="4" width="16.140625" bestFit="1" customWidth="1"/>
    <col min="5" max="5" width="13.855468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tr">
        <f>"P00" &amp; TEXT(ROW() - ROW(Table1[[#Headers],[Product ID]]), "0;-0")</f>
        <v>P001</v>
      </c>
      <c r="B2" t="s">
        <v>5</v>
      </c>
      <c r="C2" t="s">
        <v>6</v>
      </c>
      <c r="D2" s="1">
        <v>20000</v>
      </c>
      <c r="E2" s="1">
        <v>24000</v>
      </c>
    </row>
    <row r="3" spans="1:5" x14ac:dyDescent="0.2">
      <c r="A3" t="str">
        <f>"P00" &amp; TEXT(ROW() - ROW(Table1[[#Headers],[Product ID]]), "0;-0")</f>
        <v>P002</v>
      </c>
      <c r="B3" t="s">
        <v>7</v>
      </c>
      <c r="C3" t="s">
        <v>6</v>
      </c>
      <c r="D3" s="1">
        <v>15000</v>
      </c>
      <c r="E3" s="1">
        <v>18000</v>
      </c>
    </row>
    <row r="4" spans="1:5" x14ac:dyDescent="0.2">
      <c r="A4" t="str">
        <f>"P00" &amp; TEXT(ROW() - ROW(Table1[[#Headers],[Product ID]]), "0;-0")</f>
        <v>P003</v>
      </c>
      <c r="B4" t="s">
        <v>8</v>
      </c>
      <c r="C4" t="s">
        <v>9</v>
      </c>
      <c r="D4" s="1">
        <v>25000</v>
      </c>
      <c r="E4" s="1">
        <v>30000</v>
      </c>
    </row>
    <row r="5" spans="1:5" x14ac:dyDescent="0.2">
      <c r="A5" t="str">
        <f>"P00" &amp; TEXT(ROW() - ROW(Table1[[#Headers],[Product ID]]), "0;-0")</f>
        <v>P004</v>
      </c>
      <c r="B5" t="s">
        <v>10</v>
      </c>
      <c r="C5" t="s">
        <v>11</v>
      </c>
      <c r="D5" s="1">
        <v>1000</v>
      </c>
      <c r="E5" s="1">
        <v>1500</v>
      </c>
    </row>
    <row r="1048574" spans="1:1" x14ac:dyDescent="0.2">
      <c r="A1048574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E70F4-B20C-481E-BBA4-B094CBBD13DB}">
  <dimension ref="A1:G4"/>
  <sheetViews>
    <sheetView workbookViewId="0">
      <selection activeCell="H7" sqref="H7"/>
    </sheetView>
  </sheetViews>
  <sheetFormatPr defaultRowHeight="15" x14ac:dyDescent="0.2"/>
  <cols>
    <col min="1" max="1" width="12.23828125" bestFit="1" customWidth="1"/>
    <col min="2" max="2" width="20.84765625" bestFit="1" customWidth="1"/>
    <col min="3" max="3" width="9.953125" bestFit="1" customWidth="1"/>
    <col min="4" max="4" width="20.04296875" bestFit="1" customWidth="1"/>
    <col min="6" max="6" width="14.125" bestFit="1" customWidth="1"/>
    <col min="7" max="7" width="12.9140625" bestFit="1" customWidth="1"/>
  </cols>
  <sheetData>
    <row r="1" spans="1:7" x14ac:dyDescent="0.2">
      <c r="A1" t="s">
        <v>13</v>
      </c>
      <c r="B1" t="s">
        <v>14</v>
      </c>
      <c r="C1" t="s">
        <v>0</v>
      </c>
      <c r="D1" t="s">
        <v>1</v>
      </c>
      <c r="E1" t="s">
        <v>15</v>
      </c>
      <c r="F1" t="s">
        <v>16</v>
      </c>
      <c r="G1" t="s">
        <v>17</v>
      </c>
    </row>
    <row r="2" spans="1:7" x14ac:dyDescent="0.2">
      <c r="A2" s="2" t="s">
        <v>18</v>
      </c>
      <c r="B2" t="s">
        <v>19</v>
      </c>
      <c r="C2" t="s">
        <v>20</v>
      </c>
      <c r="D2" t="s">
        <v>21</v>
      </c>
      <c r="E2">
        <v>20</v>
      </c>
      <c r="F2">
        <f>VLOOKUP(C2,Product_Master!A2:E5,4,FALSE)</f>
        <v>15000</v>
      </c>
      <c r="G2">
        <f>E2*F2</f>
        <v>300000</v>
      </c>
    </row>
    <row r="3" spans="1:7" x14ac:dyDescent="0.2">
      <c r="A3" s="2" t="s">
        <v>18</v>
      </c>
      <c r="B3" t="s">
        <v>22</v>
      </c>
      <c r="C3" t="s">
        <v>23</v>
      </c>
      <c r="D3" t="s">
        <v>8</v>
      </c>
      <c r="E3">
        <v>10</v>
      </c>
      <c r="F3">
        <f>VLOOKUP(C3,Product_Master!A3:E6,4,FALSE)</f>
        <v>25000</v>
      </c>
      <c r="G3">
        <f t="shared" ref="G3:G4" si="0">E3*F3</f>
        <v>250000</v>
      </c>
    </row>
    <row r="4" spans="1:7" x14ac:dyDescent="0.2">
      <c r="A4" s="2" t="s">
        <v>18</v>
      </c>
      <c r="B4" t="s">
        <v>24</v>
      </c>
      <c r="C4" t="s">
        <v>25</v>
      </c>
      <c r="D4" t="s">
        <v>5</v>
      </c>
      <c r="E4">
        <v>15</v>
      </c>
      <c r="F4">
        <f>VLOOKUP(C4,Product_Master!A2:E5,4,FALSE)</f>
        <v>20000</v>
      </c>
      <c r="G4">
        <f t="shared" si="0"/>
        <v>300000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B4D0-6FFD-45E0-B9E9-9D917F93713F}">
  <dimension ref="A1:G5"/>
  <sheetViews>
    <sheetView workbookViewId="0">
      <selection activeCell="I3" sqref="I3"/>
    </sheetView>
  </sheetViews>
  <sheetFormatPr defaultRowHeight="15" x14ac:dyDescent="0.2"/>
  <cols>
    <col min="2" max="2" width="17.890625" bestFit="1" customWidth="1"/>
    <col min="3" max="3" width="13.5859375" customWidth="1"/>
    <col min="4" max="4" width="20.04296875" bestFit="1" customWidth="1"/>
    <col min="5" max="5" width="11.296875" bestFit="1" customWidth="1"/>
    <col min="6" max="6" width="12.9140625" bestFit="1" customWidth="1"/>
    <col min="7" max="7" width="17.484375" customWidth="1"/>
  </cols>
  <sheetData>
    <row r="1" spans="1:7" x14ac:dyDescent="0.2">
      <c r="A1" t="s">
        <v>13</v>
      </c>
      <c r="B1" t="s">
        <v>26</v>
      </c>
      <c r="C1" t="s">
        <v>0</v>
      </c>
      <c r="D1" t="s">
        <v>1</v>
      </c>
      <c r="E1" t="s">
        <v>15</v>
      </c>
      <c r="F1" t="s">
        <v>4</v>
      </c>
      <c r="G1" t="s">
        <v>17</v>
      </c>
    </row>
    <row r="2" spans="1:7" x14ac:dyDescent="0.2">
      <c r="A2" s="2">
        <v>45661</v>
      </c>
      <c r="B2" t="s">
        <v>27</v>
      </c>
      <c r="C2" t="s">
        <v>25</v>
      </c>
      <c r="D2" t="s">
        <v>5</v>
      </c>
      <c r="E2">
        <v>15</v>
      </c>
      <c r="F2">
        <f>VLOOKUP(C2,Product_Master!$A:$E,5,FALSE)</f>
        <v>24000</v>
      </c>
      <c r="G2">
        <f>E2*F2</f>
        <v>360000</v>
      </c>
    </row>
    <row r="3" spans="1:7" x14ac:dyDescent="0.2">
      <c r="A3" s="2">
        <v>45661</v>
      </c>
      <c r="B3" t="s">
        <v>28</v>
      </c>
      <c r="C3" t="s">
        <v>20</v>
      </c>
      <c r="D3" t="s">
        <v>21</v>
      </c>
      <c r="E3">
        <v>3</v>
      </c>
      <c r="F3">
        <f>VLOOKUP(C3,Product_Master!$A:$E,5,FALSE)</f>
        <v>18000</v>
      </c>
      <c r="G3">
        <f t="shared" ref="G3:G5" si="0">E3*F3</f>
        <v>54000</v>
      </c>
    </row>
    <row r="4" spans="1:7" x14ac:dyDescent="0.2">
      <c r="A4" s="2">
        <v>45661</v>
      </c>
      <c r="B4" t="s">
        <v>29</v>
      </c>
      <c r="C4" t="s">
        <v>23</v>
      </c>
      <c r="D4" t="s">
        <v>30</v>
      </c>
      <c r="E4">
        <v>2</v>
      </c>
      <c r="F4">
        <f>VLOOKUP(C4,Product_Master!$A:$E,5,FALSE)</f>
        <v>30000</v>
      </c>
      <c r="G4">
        <f t="shared" si="0"/>
        <v>60000</v>
      </c>
    </row>
    <row r="5" spans="1:7" x14ac:dyDescent="0.2">
      <c r="A5" s="2">
        <v>45661</v>
      </c>
      <c r="B5" t="s">
        <v>27</v>
      </c>
      <c r="C5" t="s">
        <v>25</v>
      </c>
      <c r="D5" t="s">
        <v>5</v>
      </c>
      <c r="E5">
        <v>4</v>
      </c>
      <c r="F5">
        <f>VLOOKUP(C5,Product_Master!$A:$E,5,FALSE)</f>
        <v>24000</v>
      </c>
      <c r="G5">
        <f t="shared" si="0"/>
        <v>96000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EA01-B930-428E-B6CB-0FF236BB8B73}">
  <dimension ref="A1:E5"/>
  <sheetViews>
    <sheetView workbookViewId="0">
      <selection activeCell="E2" sqref="E2:E5"/>
    </sheetView>
  </sheetViews>
  <sheetFormatPr defaultRowHeight="15" x14ac:dyDescent="0.2"/>
  <cols>
    <col min="1" max="1" width="10.625" bestFit="1" customWidth="1"/>
    <col min="2" max="2" width="20.04296875" customWidth="1"/>
    <col min="3" max="3" width="14.52734375" bestFit="1" customWidth="1"/>
    <col min="5" max="5" width="12.64453125" bestFit="1" customWidth="1"/>
  </cols>
  <sheetData>
    <row r="1" spans="1:5" x14ac:dyDescent="0.2">
      <c r="A1" t="s">
        <v>31</v>
      </c>
      <c r="B1" t="s">
        <v>1</v>
      </c>
      <c r="C1" t="s">
        <v>32</v>
      </c>
      <c r="D1" t="s">
        <v>33</v>
      </c>
      <c r="E1" t="s">
        <v>34</v>
      </c>
    </row>
    <row r="2" spans="1:5" x14ac:dyDescent="0.2">
      <c r="A2" t="s">
        <v>25</v>
      </c>
      <c r="B2" t="str">
        <f>VLOOKUP(A2,Product_Master!A:E,2,FALSE)</f>
        <v>Vivo V40</v>
      </c>
      <c r="C2">
        <f>SUMIF(Purchase_Data!$C:$C,A2,Purchase_Data!$E:$E)</f>
        <v>15</v>
      </c>
      <c r="D2">
        <f>SUMIF(Sales_Data!$C:$C,A2,Sales_Data!$E:$E)</f>
        <v>19</v>
      </c>
      <c r="E2">
        <f>C2-D2</f>
        <v>-4</v>
      </c>
    </row>
    <row r="3" spans="1:5" x14ac:dyDescent="0.2">
      <c r="A3" t="s">
        <v>20</v>
      </c>
      <c r="B3" t="str">
        <f>VLOOKUP(A3,Product_Master!A:E,2,FALSE)</f>
        <v>Samsung Galaxy M35</v>
      </c>
      <c r="C3">
        <f>SUMIF(Purchase_Data!$C:$C,A3,Purchase_Data!$E:$E)</f>
        <v>20</v>
      </c>
      <c r="D3">
        <f>SUMIF(Sales_Data!$C:$C,A3,Sales_Data!$E:$E)</f>
        <v>3</v>
      </c>
      <c r="E3">
        <f t="shared" ref="E3:E5" si="0">C3-D3</f>
        <v>17</v>
      </c>
    </row>
    <row r="4" spans="1:5" x14ac:dyDescent="0.2">
      <c r="A4" t="s">
        <v>23</v>
      </c>
      <c r="B4" t="str">
        <f>VLOOKUP(A4,Product_Master!A:E,2,FALSE)</f>
        <v>LG Smart TV 43</v>
      </c>
      <c r="C4">
        <f>SUMIF(Purchase_Data!$C:$C,A4,Purchase_Data!$E:$E)</f>
        <v>10</v>
      </c>
      <c r="D4">
        <f>SUMIF(Sales_Data!$C:$C,A4,Sales_Data!$E:$E)</f>
        <v>2</v>
      </c>
      <c r="E4">
        <f t="shared" si="0"/>
        <v>8</v>
      </c>
    </row>
    <row r="5" spans="1:5" x14ac:dyDescent="0.2">
      <c r="A5" t="s">
        <v>35</v>
      </c>
      <c r="B5" t="str">
        <f>VLOOKUP(A5,Product_Master!A:E,2,FALSE)</f>
        <v>Bluetooth Earbuds</v>
      </c>
      <c r="C5">
        <f>SUMIF(Purchase_Data!$C:$C,A5,Purchase_Data!$E:$E)</f>
        <v>0</v>
      </c>
      <c r="D5">
        <f>SUMIF(Sales_Data!$C:$C,A5,Sales_Data!$E:$E)</f>
        <v>0</v>
      </c>
      <c r="E5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E1449-13B1-4726-A6C4-7C2DBEF4B348}">
  <dimension ref="A1:FB9"/>
  <sheetViews>
    <sheetView workbookViewId="0">
      <selection sqref="A1:U1"/>
    </sheetView>
  </sheetViews>
  <sheetFormatPr defaultRowHeight="15" x14ac:dyDescent="0.2"/>
  <cols>
    <col min="1" max="1" width="19.1015625" bestFit="1" customWidth="1"/>
    <col min="2" max="2" width="12.23828125" bestFit="1" customWidth="1"/>
    <col min="4" max="4" width="11.97265625" customWidth="1"/>
    <col min="5" max="5" width="15.46875" customWidth="1"/>
  </cols>
  <sheetData>
    <row r="1" spans="1:158" ht="34.5" customHeight="1" x14ac:dyDescent="0.3">
      <c r="A1" s="11" t="s">
        <v>36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</row>
    <row r="3" spans="1:158" x14ac:dyDescent="0.2">
      <c r="A3" s="9" t="s">
        <v>37</v>
      </c>
      <c r="B3" s="7">
        <f>SUM(Purchase_Data!G2:G4)</f>
        <v>850000</v>
      </c>
      <c r="D3" s="4" t="s">
        <v>2</v>
      </c>
      <c r="E3" s="4" t="s">
        <v>38</v>
      </c>
    </row>
    <row r="4" spans="1:158" x14ac:dyDescent="0.2">
      <c r="A4" s="6"/>
      <c r="B4" s="7"/>
      <c r="D4" s="4" t="s">
        <v>39</v>
      </c>
      <c r="E4" s="8">
        <f>B3</f>
        <v>850000</v>
      </c>
    </row>
    <row r="5" spans="1:158" x14ac:dyDescent="0.2">
      <c r="A5" s="9" t="s">
        <v>40</v>
      </c>
      <c r="B5" s="7">
        <f>SUM(Sales_Data!G2:G5)</f>
        <v>570000</v>
      </c>
      <c r="D5" s="4" t="s">
        <v>41</v>
      </c>
      <c r="E5" s="10">
        <f>B5</f>
        <v>570000</v>
      </c>
    </row>
    <row r="6" spans="1:158" x14ac:dyDescent="0.2">
      <c r="A6" s="6"/>
      <c r="B6" s="5"/>
      <c r="D6" s="4"/>
      <c r="E6" s="4"/>
    </row>
    <row r="7" spans="1:158" x14ac:dyDescent="0.2">
      <c r="A7" s="9" t="s">
        <v>42</v>
      </c>
      <c r="B7" s="5">
        <f>COUNTA(Product_Master!A2:A5)</f>
        <v>4</v>
      </c>
    </row>
    <row r="8" spans="1:158" x14ac:dyDescent="0.2">
      <c r="A8" s="6"/>
      <c r="B8" s="5"/>
    </row>
    <row r="9" spans="1:158" x14ac:dyDescent="0.2">
      <c r="A9" s="9" t="s">
        <v>43</v>
      </c>
      <c r="B9" s="5">
        <f>SUM(Inventory!E2:E5)</f>
        <v>21</v>
      </c>
    </row>
  </sheetData>
  <mergeCells count="1">
    <mergeCell ref="A1:U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Product_Master</vt:lpstr>
      <vt:lpstr>Purchase_Data</vt:lpstr>
      <vt:lpstr>Sales_Data</vt:lpstr>
      <vt:lpstr>Inventory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Vidhi Agarwal</cp:lastModifiedBy>
  <cp:revision/>
  <dcterms:created xsi:type="dcterms:W3CDTF">2026-06-24T02:07:51Z</dcterms:created>
  <dcterms:modified xsi:type="dcterms:W3CDTF">2026-06-25T11:58:54Z</dcterms:modified>
  <cp:category/>
  <cp:contentStatus/>
</cp:coreProperties>
</file>